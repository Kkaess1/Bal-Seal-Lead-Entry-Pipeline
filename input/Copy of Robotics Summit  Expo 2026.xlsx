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C:\Users\kkaess\Documents\Lead Emails\"/>
    </mc:Choice>
  </mc:AlternateContent>
  <xr:revisionPtr revIDLastSave="0" documentId="8_{C7DDA42C-FE20-4D86-83C7-64FAD946079B}" xr6:coauthVersionLast="47" xr6:coauthVersionMax="47" xr10:uidLastSave="{00000000-0000-0000-0000-000000000000}"/>
  <bookViews>
    <workbookView xWindow="-120" yWindow="-16320" windowWidth="29040" windowHeight="15720" xr2:uid="{00000000-000D-0000-FFFF-FFFF00000000}"/>
  </bookViews>
  <sheets>
    <sheet name="Leads Per Booth Staff"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c r="G27" i="2"/>
  <c r="G26" i="2"/>
  <c r="G25" i="2"/>
  <c r="G24" i="2"/>
  <c r="G23" i="2"/>
  <c r="G22" i="2"/>
  <c r="G21" i="2"/>
  <c r="G20" i="2"/>
  <c r="G19" i="2"/>
  <c r="G18" i="2"/>
  <c r="G17" i="2"/>
  <c r="G16" i="2"/>
  <c r="G15" i="2"/>
  <c r="G14" i="2"/>
  <c r="G13" i="2"/>
  <c r="G12" i="2"/>
  <c r="G11" i="2"/>
  <c r="G10" i="2"/>
  <c r="G9" i="2"/>
  <c r="G8" i="2"/>
  <c r="G7" i="2"/>
  <c r="G6" i="2"/>
  <c r="G5" i="2"/>
  <c r="G4" i="2"/>
  <c r="G3" i="2"/>
</calcChain>
</file>

<file path=xl/sharedStrings.xml><?xml version="1.0" encoding="utf-8"?>
<sst xmlns="http://schemas.openxmlformats.org/spreadsheetml/2006/main" count="588" uniqueCount="312">
  <si>
    <t>Nicholas</t>
  </si>
  <si>
    <t>Bira</t>
  </si>
  <si>
    <t>nick@fleetrobotics.ai</t>
  </si>
  <si>
    <t>Fleet Robotics</t>
  </si>
  <si>
    <t>Senior Robotics Engineer</t>
  </si>
  <si>
    <t>Adriana</t>
  </si>
  <si>
    <t>Borcea</t>
  </si>
  <si>
    <t>aborcea@balseal.com</t>
  </si>
  <si>
    <t>Yes</t>
  </si>
  <si>
    <t>USA</t>
  </si>
  <si>
    <t>US</t>
  </si>
  <si>
    <t>500 Rutherford Ave</t>
  </si>
  <si>
    <t>Suite 105</t>
  </si>
  <si>
    <t>Charlestown</t>
  </si>
  <si>
    <t>Massachusetts</t>
  </si>
  <si>
    <t>MA</t>
  </si>
  <si>
    <t>02129</t>
  </si>
  <si>
    <t>&lt;-$9.9M</t>
  </si>
  <si>
    <t>Robotic system manufacturer</t>
  </si>
  <si>
    <t>Automotive/transportation</t>
  </si>
  <si>
    <t>Research and development</t>
  </si>
  <si>
    <t>Looking for robot sealing solutions for a robot that will clean ships, oil tankers , scrubbing bacteria; mainly outdoor use from freezing temps to 120 Farenheit , direct UV exposure: min IP 67 +. 
Initial prototype order but if everything works they have a mass production of these robots 2-4 seals per robot. Similar to the Rumba but for ships</t>
  </si>
  <si>
    <t>Hot</t>
  </si>
  <si>
    <t>Bal Seal</t>
  </si>
  <si>
    <t>Marco</t>
  </si>
  <si>
    <t>Brusa</t>
  </si>
  <si>
    <t>mbrusa@quantumdev.com</t>
  </si>
  <si>
    <t>Quantum Devices</t>
  </si>
  <si>
    <t>Sales Engineer</t>
  </si>
  <si>
    <t>Daniel</t>
  </si>
  <si>
    <t>Smoliga</t>
  </si>
  <si>
    <t>dsmoliga@balseal.com</t>
  </si>
  <si>
    <t>6089243000</t>
  </si>
  <si>
    <t>112 East Orbison Street</t>
  </si>
  <si>
    <t>Barneveld</t>
  </si>
  <si>
    <t>Wisconsin</t>
  </si>
  <si>
    <t>WI</t>
  </si>
  <si>
    <t>53507</t>
  </si>
  <si>
    <t>Reach out to get contacts. Got key chain to show Infranor Motion.</t>
  </si>
  <si>
    <t>Warm</t>
  </si>
  <si>
    <t>Unknown</t>
  </si>
  <si>
    <t>Manufacturing</t>
  </si>
  <si>
    <t>Bal Spring</t>
  </si>
  <si>
    <t>Medtronic</t>
  </si>
  <si>
    <t>Boston</t>
  </si>
  <si>
    <t>Michael</t>
  </si>
  <si>
    <t>Zemlok</t>
  </si>
  <si>
    <t>michael.zemlok@medtronic.com</t>
  </si>
  <si>
    <t>North Haven</t>
  </si>
  <si>
    <t>Connecticut</t>
  </si>
  <si>
    <t>CT</t>
  </si>
  <si>
    <t>Discussed Power connector possibilities, has designed BSE seals in previous medical designs but is in robotics now. Also like the latching springs for EF changes. Loves the keychain. Try scheduling demo with other engineers</t>
  </si>
  <si>
    <t>William</t>
  </si>
  <si>
    <t>Stone</t>
  </si>
  <si>
    <t>william.stone.3d@gmail.com</t>
  </si>
  <si>
    <t>Mycronic</t>
  </si>
  <si>
    <t>Senior Mechanical Engineer R&amp;D</t>
  </si>
  <si>
    <t>554 Clark Rd</t>
  </si>
  <si>
    <t>Tewksbury</t>
  </si>
  <si>
    <t>01876</t>
  </si>
  <si>
    <t>Technology developer</t>
  </si>
  <si>
    <t>Engineer</t>
  </si>
  <si>
    <t>Semiconductor wafer placement (manual and automated) robot needs preload latching and possibly with a sliding collar release locking connector DS-118</t>
  </si>
  <si>
    <t>Jean-Philippe</t>
  </si>
  <si>
    <t>Bigué</t>
  </si>
  <si>
    <t>jp.bigue@exonetik.com</t>
  </si>
  <si>
    <t>Exonetik</t>
  </si>
  <si>
    <t>Robotic Lead Engineer</t>
  </si>
  <si>
    <t>Canada</t>
  </si>
  <si>
    <t>CA</t>
  </si>
  <si>
    <t>3500 boul. Industriel</t>
  </si>
  <si>
    <t>Sherbrooke</t>
  </si>
  <si>
    <t>Québec</t>
  </si>
  <si>
    <t>QC</t>
  </si>
  <si>
    <t>J1L 1V8</t>
  </si>
  <si>
    <t>Other: Aerospace</t>
  </si>
  <si>
    <t>Hot, hot design their next gen of actuators, radial lip seals; seal to seal the fluid , not happy with trelleborg and skf. For clutching system not; 5-10mm size to not loose fluids; up to 30-50PSI . Start with zero ; confit applications room temp and higher 
150 Rpm up to 1000 rpm</t>
  </si>
  <si>
    <t>CHENHAO</t>
  </si>
  <si>
    <t>YU</t>
  </si>
  <si>
    <t>houston.yu@zeroerr.com</t>
  </si>
  <si>
    <t>ZeroErr Inc.</t>
  </si>
  <si>
    <t>Sales Engineering Manager</t>
  </si>
  <si>
    <t>+1 (509) 338 8905</t>
  </si>
  <si>
    <t>2021 THE ALAMEDA, SUITE 170, SAN JOSE, C</t>
  </si>
  <si>
    <t>San Jose</t>
  </si>
  <si>
    <t>California</t>
  </si>
  <si>
    <t>95126</t>
  </si>
  <si>
    <t>Make actuators and they currently work with SKF. But interested in having another option in Balseal for better lead times and benchmark . Located in China</t>
  </si>
  <si>
    <t>Alex</t>
  </si>
  <si>
    <t>Stephens</t>
  </si>
  <si>
    <t>alex@assistivetech.dev</t>
  </si>
  <si>
    <t>ATDev</t>
  </si>
  <si>
    <t>Sr Robotics Hardware Engineer</t>
  </si>
  <si>
    <t>5825 Darlington Rd</t>
  </si>
  <si>
    <t>Pittsburgh</t>
  </si>
  <si>
    <t>Pennsylvania</t>
  </si>
  <si>
    <t>PA</t>
  </si>
  <si>
    <t>15217</t>
  </si>
  <si>
    <t>Healthcare/medical/pharmaceutical</t>
  </si>
  <si>
    <t>Works with kinove; wheelchairs / robotics</t>
  </si>
  <si>
    <t>Georgia</t>
  </si>
  <si>
    <t>GA</t>
  </si>
  <si>
    <t>Alpharetta</t>
  </si>
  <si>
    <t>Contract manufacturer</t>
  </si>
  <si>
    <t>Executive</t>
  </si>
  <si>
    <t>Logistics/supply chain/warehousing</t>
  </si>
  <si>
    <t>Roberto</t>
  </si>
  <si>
    <t>Naccarato</t>
  </si>
  <si>
    <t>rnaccarato@elastoproxy.com</t>
  </si>
  <si>
    <t>Elasto Proxy</t>
  </si>
  <si>
    <t>Chief Growth Officer</t>
  </si>
  <si>
    <t>4035 rue Lavoisier</t>
  </si>
  <si>
    <t>Boisbriand</t>
  </si>
  <si>
    <t>J7H 1N1</t>
  </si>
  <si>
    <t>$10M-$49.9M</t>
  </si>
  <si>
    <t>Robotics component provider</t>
  </si>
  <si>
    <t>Rubber gasket and extrusion; has interest in current solutions for current applications</t>
  </si>
  <si>
    <t>Aubrey</t>
  </si>
  <si>
    <t>Ortiz</t>
  </si>
  <si>
    <t>aubrey.ortiz@swansurg.com</t>
  </si>
  <si>
    <t>Swan EndoSurgical</t>
  </si>
  <si>
    <t>Mechanical Engineer</t>
  </si>
  <si>
    <t>150 Royall St Suite 207</t>
  </si>
  <si>
    <t>Canton</t>
  </si>
  <si>
    <t>02021</t>
  </si>
  <si>
    <t>Sealing heart pressure 2000psi</t>
  </si>
  <si>
    <t>Eugene</t>
  </si>
  <si>
    <t>Niselson</t>
  </si>
  <si>
    <t>eniselson@harmonicdrive.net</t>
  </si>
  <si>
    <t>Harmonic Drive LLC</t>
  </si>
  <si>
    <t>(978) 573-3483</t>
  </si>
  <si>
    <t>42 Dunham Rd</t>
  </si>
  <si>
    <t>42 Dunham Ridge</t>
  </si>
  <si>
    <t>Beverly</t>
  </si>
  <si>
    <t>01915</t>
  </si>
  <si>
    <t>Ross: rmyerson@harmonicdrive.net</t>
  </si>
  <si>
    <t>Eric</t>
  </si>
  <si>
    <t>Wang</t>
  </si>
  <si>
    <t>ywang@aimmedrobotics.com</t>
  </si>
  <si>
    <t>AiM Medical Robotics</t>
  </si>
  <si>
    <t>Worcester</t>
  </si>
  <si>
    <t>Robotic company; makes robots with industrial applications</t>
  </si>
  <si>
    <t>Volodymyr</t>
  </si>
  <si>
    <t>Korolovych</t>
  </si>
  <si>
    <t>korolovych@gmail.com</t>
  </si>
  <si>
    <t>MIT</t>
  </si>
  <si>
    <t>Scientist</t>
  </si>
  <si>
    <t>50 Causeway St</t>
  </si>
  <si>
    <t>02114</t>
  </si>
  <si>
    <t>Defense/security/emergency response</t>
  </si>
  <si>
    <t>Start up looking for EMI shielding for a motor. Secretive but intriguing. Want an NDA before discussing</t>
  </si>
  <si>
    <t>Tianjian</t>
  </si>
  <si>
    <t>Chen</t>
  </si>
  <si>
    <t>tianjian@tangentrobotics.ai</t>
  </si>
  <si>
    <t>Tangent Robotics</t>
  </si>
  <si>
    <t>CTO</t>
  </si>
  <si>
    <t>115 W 30th St</t>
  </si>
  <si>
    <t>Suite 708</t>
  </si>
  <si>
    <t>New York</t>
  </si>
  <si>
    <t>NY</t>
  </si>
  <si>
    <t>10001</t>
  </si>
  <si>
    <t>Located in robot components; located in  New York; industrial assembly with robot hands ; started last year</t>
  </si>
  <si>
    <t>Kenny</t>
  </si>
  <si>
    <t>Nguyen</t>
  </si>
  <si>
    <t>knguyen@nmbtc.com</t>
  </si>
  <si>
    <t>NMB Technologies Corporation</t>
  </si>
  <si>
    <t>Business Development</t>
  </si>
  <si>
    <t>39830 Grand River Ave,</t>
  </si>
  <si>
    <t>Novi</t>
  </si>
  <si>
    <t>Michigan</t>
  </si>
  <si>
    <t>MI</t>
  </si>
  <si>
    <t>48375</t>
  </si>
  <si>
    <t>Mfg in Japan. Could be a good lead for semicon</t>
  </si>
  <si>
    <t>Joe</t>
  </si>
  <si>
    <t>Urcinas</t>
  </si>
  <si>
    <t>jurcinas@phdinc.com</t>
  </si>
  <si>
    <t>PHD, Inc.</t>
  </si>
  <si>
    <t>Motion Controls Sales Engineer</t>
  </si>
  <si>
    <t>9009 Clubridge Drive</t>
  </si>
  <si>
    <t>Fort Wayne</t>
  </si>
  <si>
    <t>Indiana</t>
  </si>
  <si>
    <t>IN</t>
  </si>
  <si>
    <t>46809</t>
  </si>
  <si>
    <t>For Josh to talk to robots, actuators works with Yamaha</t>
  </si>
  <si>
    <t>Nathan</t>
  </si>
  <si>
    <t>Jonson</t>
  </si>
  <si>
    <t>njonson@sherpa-design.com</t>
  </si>
  <si>
    <t>Sherpa Design</t>
  </si>
  <si>
    <t>Manufacturing &amp; Automation Engineer</t>
  </si>
  <si>
    <t>224 SE 2nd Ave</t>
  </si>
  <si>
    <t>Portland</t>
  </si>
  <si>
    <t>Oregon</t>
  </si>
  <si>
    <t>OR</t>
  </si>
  <si>
    <t>97214</t>
  </si>
  <si>
    <t>Electrical/electronics</t>
  </si>
  <si>
    <t>Contract designer doing automation engineering for OEMs, getting into humanoid robotics. Interested in springs for high current contacts. Seal opportunities for industrial motors and servos</t>
  </si>
  <si>
    <t>Reid</t>
  </si>
  <si>
    <t>Alexander</t>
  </si>
  <si>
    <t>reid.alexander@fnst.com</t>
  </si>
  <si>
    <t>Freudenberg-NOK Sealing Technologies</t>
  </si>
  <si>
    <t>Director Application Development</t>
  </si>
  <si>
    <t>47690 East Anchor Ct</t>
  </si>
  <si>
    <t>PLYMOUTH</t>
  </si>
  <si>
    <t>48170</t>
  </si>
  <si>
    <t>$1B-$9.9B</t>
  </si>
  <si>
    <t>Interested in buying springs and fascinated about what we do 
Based in Michigan</t>
  </si>
  <si>
    <t>Mehdi</t>
  </si>
  <si>
    <t>Hashemian</t>
  </si>
  <si>
    <t>mehdi.hashemian@fnst.com</t>
  </si>
  <si>
    <t>FST</t>
  </si>
  <si>
    <t>Director Product Development</t>
  </si>
  <si>
    <t>47690 East Anchor Court</t>
  </si>
  <si>
    <t>Plymouth</t>
  </si>
  <si>
    <t>&gt;$10B</t>
  </si>
  <si>
    <t>Interest in Latching springs and purchasing springs for their seals (frenemy)</t>
  </si>
  <si>
    <t>China</t>
  </si>
  <si>
    <t>CN</t>
  </si>
  <si>
    <t>Guangdong</t>
  </si>
  <si>
    <t>CN-44</t>
  </si>
  <si>
    <t>Yujing</t>
  </si>
  <si>
    <t>salesmanager01@world-machining.com</t>
  </si>
  <si>
    <t>Guangdong World Precision Technology Co., Ltd.</t>
  </si>
  <si>
    <t>Sales Manager</t>
  </si>
  <si>
    <t>No. 6 Wanjiang Section, Gangkou Avenue,</t>
  </si>
  <si>
    <t>dongguan</t>
  </si>
  <si>
    <t>523061</t>
  </si>
  <si>
    <t>Interested in strategic partners wits us produces parts for semiconductor products 
See brochure</t>
  </si>
  <si>
    <t>Bal Contact</t>
  </si>
  <si>
    <t>Jon</t>
  </si>
  <si>
    <t>Hughes</t>
  </si>
  <si>
    <t>jon.hughes@agc.com</t>
  </si>
  <si>
    <t>AGC Business Development America</t>
  </si>
  <si>
    <t>Sr. Mgr, Marketing &amp; Business Development</t>
  </si>
  <si>
    <t>11175 Cicero Drive</t>
  </si>
  <si>
    <t>Suite 400</t>
  </si>
  <si>
    <t>30022</t>
  </si>
  <si>
    <t>Material Manufactured polymers and glass materials
Manufacturing in Brazil , Cupertino .. and Japan. Could be a suppler</t>
  </si>
  <si>
    <t>Dincer</t>
  </si>
  <si>
    <t>Bozkaya</t>
  </si>
  <si>
    <t>dinceb@amazon.com</t>
  </si>
  <si>
    <t>Amazon Robotics</t>
  </si>
  <si>
    <t>Principal Engineer</t>
  </si>
  <si>
    <t>617-372-0754</t>
  </si>
  <si>
    <t>300 Riverpark Dr</t>
  </si>
  <si>
    <t>North Reading</t>
  </si>
  <si>
    <t>01864-2622</t>
  </si>
  <si>
    <t>Daniel to call them - specific robot application for a robotic arm join with a higher payload for warehousing</t>
  </si>
  <si>
    <t>Dwight</t>
  </si>
  <si>
    <t>Meglan</t>
  </si>
  <si>
    <t>dmeglan@gmail.com</t>
  </si>
  <si>
    <t>Exemplar Devices LLC</t>
  </si>
  <si>
    <t>Principal</t>
  </si>
  <si>
    <t>7813209601</t>
  </si>
  <si>
    <t>1886 Central Ave</t>
  </si>
  <si>
    <t>Needham</t>
  </si>
  <si>
    <t>02492</t>
  </si>
  <si>
    <t>Current prototype phase contact asap</t>
  </si>
  <si>
    <t>Patrick</t>
  </si>
  <si>
    <t>Dwyer</t>
  </si>
  <si>
    <t>harp0crat3s@gmail.com</t>
  </si>
  <si>
    <t>Amazon</t>
  </si>
  <si>
    <t>Hardware Engineer</t>
  </si>
  <si>
    <t>50 Otis St</t>
  </si>
  <si>
    <t>Westborough</t>
  </si>
  <si>
    <t>01581-3323</t>
  </si>
  <si>
    <t>Has a active application for a motor that he has to change seals every three months. Looking for a better solution and wants to speak with an Application Engineer asap</t>
  </si>
  <si>
    <t>Morihiko</t>
  </si>
  <si>
    <t>Yamaguchi</t>
  </si>
  <si>
    <t>myamaguchi@harmonicdrive.net</t>
  </si>
  <si>
    <t>Manufacturing Automation Technician</t>
  </si>
  <si>
    <t>ME for In house automation. Wants COTS seals, could start with former ReadyTek seals and leverage contact to get introduction to product designers</t>
  </si>
  <si>
    <t>Steve</t>
  </si>
  <si>
    <t>Matos</t>
  </si>
  <si>
    <t>smatos@harmonicdrive.net</t>
  </si>
  <si>
    <t>Automation Engineer</t>
  </si>
  <si>
    <t>X</t>
  </si>
  <si>
    <t>Marcus</t>
  </si>
  <si>
    <t>Abellera</t>
  </si>
  <si>
    <t>marcus.abellera@envalior.com</t>
  </si>
  <si>
    <t>Envalior Engineered Materials</t>
  </si>
  <si>
    <t>Business Development Engineer</t>
  </si>
  <si>
    <t>203 W. Big Beaver Road</t>
  </si>
  <si>
    <t>Troy</t>
  </si>
  <si>
    <t>48180</t>
  </si>
  <si>
    <t>Other: All Industries</t>
  </si>
  <si>
    <t>First Name</t>
  </si>
  <si>
    <t>Last Name</t>
  </si>
  <si>
    <t>Email Address</t>
  </si>
  <si>
    <t>Company Name</t>
  </si>
  <si>
    <t>Title</t>
  </si>
  <si>
    <t>Mobile Phone Number</t>
  </si>
  <si>
    <t>Created Date and Time US/Eastern</t>
  </si>
  <si>
    <t>Booth Staff First Name</t>
  </si>
  <si>
    <t>Booth Staff Last Name</t>
  </si>
  <si>
    <t>Booth Staff Email</t>
  </si>
  <si>
    <t>Qualified</t>
  </si>
  <si>
    <t>Work Phone Number</t>
  </si>
  <si>
    <t>Work Country</t>
  </si>
  <si>
    <t>Work Address Country/Region Code</t>
  </si>
  <si>
    <t>Work Address 1</t>
  </si>
  <si>
    <t>Work Address 2</t>
  </si>
  <si>
    <t>Work City</t>
  </si>
  <si>
    <t>Work State/Province</t>
  </si>
  <si>
    <t>Work Address State/Province Code</t>
  </si>
  <si>
    <t>Work ZIP/Postal Code</t>
  </si>
  <si>
    <t>What was your company’s gross revenues for fiscal year 2025? (Select one)</t>
  </si>
  <si>
    <t>What best describes your organization?</t>
  </si>
  <si>
    <t>What primary industry are you involved in?</t>
  </si>
  <si>
    <t>What best describes your job function?</t>
  </si>
  <si>
    <t>Application Notes</t>
  </si>
  <si>
    <t>Lead Interest</t>
  </si>
  <si>
    <t>Product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</si>
</sst>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family val="2"/>
    </font>
    <font>
      <b/>
      <sz val="13"/>
      <color theme="1"/>
      <name val="Calibri"/>
      <family val="2"/>
    </font>
    <font>
      <sz val="12"/>
      <color theme="1"/>
      <name val="Calibri"/>
      <family val="2"/>
    </font>
  </fonts>
  <fills count="3">
    <fill>
      <patternFill patternType="none"/>
    </fill>
    <fill>
      <patternFill patternType="gray125"/>
    </fill>
    <fill>
      <patternFill patternType="solid">
        <fgColor rgb="FFEDEDED"/>
        <bgColor indexed="64"/>
      </patternFill>
    </fill>
  </fills>
  <borders count="2">
    <border>
      <left/>
      <right/>
      <top/>
      <bottom/>
      <diagonal/>
    </border>
    <border>
      <left/>
      <right/>
      <top style="thin">
        <color rgb="FF000000"/>
      </top>
      <bottom style="thin">
        <color rgb="FF000000"/>
      </bottom>
      <diagonal/>
    </border>
  </borders>
  <cellStyleXfs count="1">
    <xf numFmtId="0" fontId="0" fillId="0" borderId="0"/>
  </cellStyleXfs>
  <cellXfs count="7">
    <xf numFmtId="0" fontId="0" fillId="0" borderId="0" xfId="0"/>
    <xf numFmtId="49" fontId="2" fillId="0" borderId="0" xfId="0" applyNumberFormat="1" applyFont="1" applyAlignment="1">
      <alignment wrapText="1"/>
    </xf>
    <xf numFmtId="22" fontId="2" fillId="0" borderId="0" xfId="0" applyNumberFormat="1" applyFont="1"/>
    <xf numFmtId="49" fontId="2" fillId="2" borderId="0" xfId="0" applyNumberFormat="1" applyFont="1" applyFill="1" applyAlignment="1">
      <alignment wrapText="1"/>
    </xf>
    <xf numFmtId="22" fontId="2" fillId="2" borderId="0" xfId="0" applyNumberFormat="1" applyFont="1" applyFill="1"/>
    <xf numFmtId="49" fontId="2" fillId="2" borderId="0" xfId="0" quotePrefix="1" applyNumberFormat="1" applyFont="1" applyFill="1" applyAlignment="1">
      <alignment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A27" totalsRowShown="0">
  <autoFilter ref="A1:AA27" xr:uid="{00000000-0009-0000-0100-000001000000}"/>
  <tableColumns count="27">
    <tableColumn id="2" xr3:uid="{00000000-0010-0000-0000-000002000000}" name="First Name"/>
    <tableColumn id="3" xr3:uid="{00000000-0010-0000-0000-000003000000}" name="Last Name"/>
    <tableColumn id="5" xr3:uid="{00000000-0010-0000-0000-000005000000}" name="Email Address"/>
    <tableColumn id="6" xr3:uid="{00000000-0010-0000-0000-000006000000}" name="Company Name"/>
    <tableColumn id="7" xr3:uid="{00000000-0010-0000-0000-000007000000}" name="Title"/>
    <tableColumn id="8" xr3:uid="{00000000-0010-0000-0000-000008000000}" name="Mobile Phone Number"/>
    <tableColumn id="9" xr3:uid="{00000000-0010-0000-0000-000009000000}" name="Created Date and Time US/Eastern"/>
    <tableColumn id="10" xr3:uid="{00000000-0010-0000-0000-00000A000000}" name="Booth Staff First Name"/>
    <tableColumn id="11" xr3:uid="{00000000-0010-0000-0000-00000B000000}" name="Booth Staff Last Name"/>
    <tableColumn id="12" xr3:uid="{00000000-0010-0000-0000-00000C000000}" name="Booth Staff Email"/>
    <tableColumn id="14" xr3:uid="{00000000-0010-0000-0000-00000E000000}" name="Qualified"/>
    <tableColumn id="18" xr3:uid="{00000000-0010-0000-0000-000012000000}" name="Work Phone Number"/>
    <tableColumn id="19" xr3:uid="{00000000-0010-0000-0000-000013000000}" name="Work Country"/>
    <tableColumn id="20" xr3:uid="{00000000-0010-0000-0000-000014000000}" name="Work Address Country/Region Code"/>
    <tableColumn id="21" xr3:uid="{00000000-0010-0000-0000-000015000000}" name="Work Address 1"/>
    <tableColumn id="22" xr3:uid="{00000000-0010-0000-0000-000016000000}" name="Work Address 2"/>
    <tableColumn id="23" xr3:uid="{00000000-0010-0000-0000-000017000000}" name="Work City"/>
    <tableColumn id="24" xr3:uid="{00000000-0010-0000-0000-000018000000}" name="Work State/Province"/>
    <tableColumn id="25" xr3:uid="{00000000-0010-0000-0000-000019000000}" name="Work Address State/Province Code"/>
    <tableColumn id="26" xr3:uid="{00000000-0010-0000-0000-00001A000000}" name="Work ZIP/Postal Code"/>
    <tableColumn id="48" xr3:uid="{00000000-0010-0000-0000-000030000000}" name="What was your company’s gross revenues for fiscal year 2025? (Select one)"/>
    <tableColumn id="49" xr3:uid="{00000000-0010-0000-0000-000031000000}" name="What best describes your organization?"/>
    <tableColumn id="50" xr3:uid="{00000000-0010-0000-0000-000032000000}" name="What primary industry are you involved in?"/>
    <tableColumn id="51" xr3:uid="{00000000-0010-0000-0000-000033000000}" name="What best describes your job function?"/>
    <tableColumn id="54" xr3:uid="{00000000-0010-0000-0000-000036000000}" name="Application Notes"/>
    <tableColumn id="55" xr3:uid="{00000000-0010-0000-0000-000037000000}" name="Lead Interest"/>
    <tableColumn id="56" xr3:uid="{00000000-0010-0000-0000-000038000000}" name="Product Interest"/>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11F79-3E08-4BBF-84D4-65B3180EBAA4}">
  <dimension ref="A1:AA27"/>
  <sheetViews>
    <sheetView tabSelected="1" topLeftCell="U1" workbookViewId="0">
      <selection activeCell="V33" sqref="V33"/>
    </sheetView>
  </sheetViews>
  <sheetFormatPr defaultRowHeight="12.5" x14ac:dyDescent="0.25"/>
  <cols>
    <col min="1" max="1" width="14.54296875" bestFit="1" customWidth="1"/>
    <col min="2" max="2" width="14.1796875" bestFit="1" customWidth="1"/>
    <col min="3" max="3" width="27.453125" customWidth="1"/>
    <col min="4" max="5" width="27.26953125" bestFit="1" customWidth="1"/>
    <col min="6" max="6" width="27" bestFit="1" customWidth="1"/>
    <col min="7" max="7" width="27.26953125" bestFit="1" customWidth="1"/>
    <col min="8" max="8" width="26.81640625" bestFit="1" customWidth="1"/>
    <col min="9" max="9" width="26.453125" bestFit="1" customWidth="1"/>
    <col min="10" max="10" width="23" bestFit="1" customWidth="1"/>
    <col min="11" max="11" width="12.7265625" bestFit="1" customWidth="1"/>
    <col min="12" max="12" width="25.26953125" bestFit="1" customWidth="1"/>
    <col min="13" max="13" width="17.7265625" bestFit="1" customWidth="1"/>
    <col min="14" max="14" width="25.7265625" bestFit="1" customWidth="1"/>
    <col min="15" max="15" width="26.7265625" bestFit="1" customWidth="1"/>
    <col min="16" max="16" width="19.81640625" bestFit="1" customWidth="1"/>
    <col min="17" max="17" width="17.7265625" bestFit="1" customWidth="1"/>
    <col min="18" max="18" width="25" bestFit="1" customWidth="1"/>
    <col min="19" max="19" width="24.7265625" bestFit="1" customWidth="1"/>
    <col min="20" max="20" width="26" bestFit="1" customWidth="1"/>
    <col min="21" max="21" width="27.453125" customWidth="1"/>
    <col min="22" max="22" width="25" bestFit="1" customWidth="1"/>
    <col min="23" max="23" width="27.453125" customWidth="1"/>
    <col min="24" max="24" width="26.7265625" bestFit="1" customWidth="1"/>
    <col min="25" max="25" width="120.1796875" customWidth="1"/>
    <col min="26" max="26" width="17.1796875" bestFit="1" customWidth="1"/>
    <col min="27" max="27" width="20.453125" bestFit="1" customWidth="1"/>
  </cols>
  <sheetData>
    <row r="1" spans="1:27" ht="68" x14ac:dyDescent="0.25">
      <c r="A1" s="6" t="s">
        <v>285</v>
      </c>
      <c r="B1" s="6" t="s">
        <v>286</v>
      </c>
      <c r="C1" s="6" t="s">
        <v>287</v>
      </c>
      <c r="D1" s="6" t="s">
        <v>288</v>
      </c>
      <c r="E1" s="6" t="s">
        <v>289</v>
      </c>
      <c r="F1" s="6" t="s">
        <v>290</v>
      </c>
      <c r="G1" s="6" t="s">
        <v>291</v>
      </c>
      <c r="H1" s="6" t="s">
        <v>292</v>
      </c>
      <c r="I1" s="6" t="s">
        <v>293</v>
      </c>
      <c r="J1" s="6" t="s">
        <v>294</v>
      </c>
      <c r="K1" s="6" t="s">
        <v>295</v>
      </c>
      <c r="L1" s="6" t="s">
        <v>296</v>
      </c>
      <c r="M1" s="6" t="s">
        <v>297</v>
      </c>
      <c r="N1" s="6" t="s">
        <v>298</v>
      </c>
      <c r="O1" s="6" t="s">
        <v>299</v>
      </c>
      <c r="P1" s="6" t="s">
        <v>300</v>
      </c>
      <c r="Q1" s="6" t="s">
        <v>301</v>
      </c>
      <c r="R1" s="6" t="s">
        <v>302</v>
      </c>
      <c r="S1" s="6" t="s">
        <v>303</v>
      </c>
      <c r="T1" s="6" t="s">
        <v>304</v>
      </c>
      <c r="U1" s="6" t="s">
        <v>305</v>
      </c>
      <c r="V1" s="6" t="s">
        <v>306</v>
      </c>
      <c r="W1" s="6" t="s">
        <v>307</v>
      </c>
      <c r="X1" s="6" t="s">
        <v>308</v>
      </c>
      <c r="Y1" s="6" t="s">
        <v>309</v>
      </c>
      <c r="Z1" s="6" t="s">
        <v>310</v>
      </c>
      <c r="AA1" s="6" t="s">
        <v>311</v>
      </c>
    </row>
    <row r="2" spans="1:27" ht="77.5" x14ac:dyDescent="0.35">
      <c r="A2" s="1" t="s">
        <v>0</v>
      </c>
      <c r="B2" s="1" t="s">
        <v>1</v>
      </c>
      <c r="C2" s="1" t="s">
        <v>2</v>
      </c>
      <c r="D2" s="1" t="s">
        <v>3</v>
      </c>
      <c r="E2" s="1" t="s">
        <v>4</v>
      </c>
      <c r="F2" s="1"/>
      <c r="G2" s="2">
        <f>DATE(2026,5,28)+TIME(14,29,50)</f>
        <v>46170.604050925926</v>
      </c>
      <c r="H2" s="1" t="s">
        <v>5</v>
      </c>
      <c r="I2" s="1" t="s">
        <v>6</v>
      </c>
      <c r="J2" s="1" t="s">
        <v>7</v>
      </c>
      <c r="K2" s="1" t="s">
        <v>8</v>
      </c>
      <c r="L2" s="1"/>
      <c r="M2" s="1" t="s">
        <v>9</v>
      </c>
      <c r="N2" s="1" t="s">
        <v>10</v>
      </c>
      <c r="O2" s="1" t="s">
        <v>11</v>
      </c>
      <c r="P2" s="1" t="s">
        <v>12</v>
      </c>
      <c r="Q2" s="1" t="s">
        <v>13</v>
      </c>
      <c r="R2" s="1" t="s">
        <v>14</v>
      </c>
      <c r="S2" s="1" t="s">
        <v>15</v>
      </c>
      <c r="T2" s="1" t="s">
        <v>16</v>
      </c>
      <c r="U2" s="1" t="s">
        <v>17</v>
      </c>
      <c r="V2" s="1" t="s">
        <v>18</v>
      </c>
      <c r="W2" s="1" t="s">
        <v>19</v>
      </c>
      <c r="X2" s="1" t="s">
        <v>20</v>
      </c>
      <c r="Y2" s="1" t="s">
        <v>21</v>
      </c>
      <c r="Z2" s="1" t="s">
        <v>22</v>
      </c>
      <c r="AA2" s="1" t="s">
        <v>23</v>
      </c>
    </row>
    <row r="3" spans="1:27" ht="15.5" x14ac:dyDescent="0.35">
      <c r="A3" s="3" t="s">
        <v>24</v>
      </c>
      <c r="B3" s="3" t="s">
        <v>25</v>
      </c>
      <c r="C3" s="3" t="s">
        <v>26</v>
      </c>
      <c r="D3" s="3" t="s">
        <v>27</v>
      </c>
      <c r="E3" s="3" t="s">
        <v>28</v>
      </c>
      <c r="F3" s="3"/>
      <c r="G3" s="4">
        <f>DATE(2026,5,28)+TIME(14,18,48)</f>
        <v>46170.596388888887</v>
      </c>
      <c r="H3" s="3" t="s">
        <v>29</v>
      </c>
      <c r="I3" s="3" t="s">
        <v>30</v>
      </c>
      <c r="J3" s="3" t="s">
        <v>31</v>
      </c>
      <c r="K3" s="3" t="s">
        <v>8</v>
      </c>
      <c r="L3" s="3" t="s">
        <v>32</v>
      </c>
      <c r="M3" s="3" t="s">
        <v>9</v>
      </c>
      <c r="N3" s="3" t="s">
        <v>10</v>
      </c>
      <c r="O3" s="3" t="s">
        <v>33</v>
      </c>
      <c r="P3" s="3"/>
      <c r="Q3" s="3" t="s">
        <v>34</v>
      </c>
      <c r="R3" s="3" t="s">
        <v>35</v>
      </c>
      <c r="S3" s="3" t="s">
        <v>36</v>
      </c>
      <c r="T3" s="3" t="s">
        <v>37</v>
      </c>
      <c r="U3" s="3"/>
      <c r="V3" s="3"/>
      <c r="W3" s="3"/>
      <c r="X3" s="3"/>
      <c r="Y3" s="3" t="s">
        <v>38</v>
      </c>
      <c r="Z3" s="3" t="s">
        <v>39</v>
      </c>
      <c r="AA3" s="3" t="s">
        <v>23</v>
      </c>
    </row>
    <row r="4" spans="1:27" ht="31" x14ac:dyDescent="0.35">
      <c r="A4" s="1" t="s">
        <v>45</v>
      </c>
      <c r="B4" s="1" t="s">
        <v>46</v>
      </c>
      <c r="C4" s="1" t="s">
        <v>47</v>
      </c>
      <c r="D4" s="1" t="s">
        <v>43</v>
      </c>
      <c r="E4" s="1"/>
      <c r="F4" s="1"/>
      <c r="G4" s="2">
        <f>DATE(2026,5,28)+TIME(13,38,28)</f>
        <v>46170.568379629629</v>
      </c>
      <c r="H4" s="1" t="s">
        <v>29</v>
      </c>
      <c r="I4" s="1" t="s">
        <v>30</v>
      </c>
      <c r="J4" s="1" t="s">
        <v>31</v>
      </c>
      <c r="K4" s="1" t="s">
        <v>8</v>
      </c>
      <c r="L4" s="1"/>
      <c r="M4" s="1" t="s">
        <v>9</v>
      </c>
      <c r="N4" s="1" t="s">
        <v>10</v>
      </c>
      <c r="O4" s="1"/>
      <c r="P4" s="1"/>
      <c r="Q4" s="1" t="s">
        <v>48</v>
      </c>
      <c r="R4" s="1" t="s">
        <v>49</v>
      </c>
      <c r="S4" s="1" t="s">
        <v>50</v>
      </c>
      <c r="T4" s="1"/>
      <c r="U4" s="1"/>
      <c r="V4" s="1"/>
      <c r="W4" s="1"/>
      <c r="X4" s="1"/>
      <c r="Y4" s="1" t="s">
        <v>51</v>
      </c>
      <c r="Z4" s="1" t="s">
        <v>39</v>
      </c>
      <c r="AA4" s="1" t="s">
        <v>42</v>
      </c>
    </row>
    <row r="5" spans="1:27" ht="31" x14ac:dyDescent="0.35">
      <c r="A5" s="3" t="s">
        <v>52</v>
      </c>
      <c r="B5" s="3" t="s">
        <v>53</v>
      </c>
      <c r="C5" s="3" t="s">
        <v>54</v>
      </c>
      <c r="D5" s="3" t="s">
        <v>55</v>
      </c>
      <c r="E5" s="3" t="s">
        <v>56</v>
      </c>
      <c r="F5" s="3"/>
      <c r="G5" s="4">
        <f>DATE(2026,5,28)+TIME(13,29,59)</f>
        <v>46170.562488425923</v>
      </c>
      <c r="H5" s="3" t="s">
        <v>29</v>
      </c>
      <c r="I5" s="3" t="s">
        <v>30</v>
      </c>
      <c r="J5" s="3" t="s">
        <v>31</v>
      </c>
      <c r="K5" s="3" t="s">
        <v>8</v>
      </c>
      <c r="L5" s="3"/>
      <c r="M5" s="3" t="s">
        <v>9</v>
      </c>
      <c r="N5" s="3" t="s">
        <v>10</v>
      </c>
      <c r="O5" s="3" t="s">
        <v>57</v>
      </c>
      <c r="P5" s="3"/>
      <c r="Q5" s="3" t="s">
        <v>58</v>
      </c>
      <c r="R5" s="3" t="s">
        <v>14</v>
      </c>
      <c r="S5" s="3" t="s">
        <v>15</v>
      </c>
      <c r="T5" s="3" t="s">
        <v>59</v>
      </c>
      <c r="U5" s="3" t="s">
        <v>40</v>
      </c>
      <c r="V5" s="3" t="s">
        <v>60</v>
      </c>
      <c r="W5" s="3" t="s">
        <v>41</v>
      </c>
      <c r="X5" s="3" t="s">
        <v>61</v>
      </c>
      <c r="Y5" s="3" t="s">
        <v>62</v>
      </c>
      <c r="Z5" s="3" t="s">
        <v>22</v>
      </c>
      <c r="AA5" s="3" t="s">
        <v>42</v>
      </c>
    </row>
    <row r="6" spans="1:27" ht="46.5" x14ac:dyDescent="0.35">
      <c r="A6" s="1" t="s">
        <v>63</v>
      </c>
      <c r="B6" s="1" t="s">
        <v>64</v>
      </c>
      <c r="C6" s="1" t="s">
        <v>65</v>
      </c>
      <c r="D6" s="1" t="s">
        <v>66</v>
      </c>
      <c r="E6" s="1" t="s">
        <v>67</v>
      </c>
      <c r="F6" s="1"/>
      <c r="G6" s="2">
        <f>DATE(2026,5,28)+TIME(12,55,38)</f>
        <v>46170.538634259261</v>
      </c>
      <c r="H6" s="1" t="s">
        <v>5</v>
      </c>
      <c r="I6" s="1" t="s">
        <v>6</v>
      </c>
      <c r="J6" s="1" t="s">
        <v>7</v>
      </c>
      <c r="K6" s="1" t="s">
        <v>8</v>
      </c>
      <c r="L6" s="1"/>
      <c r="M6" s="1" t="s">
        <v>68</v>
      </c>
      <c r="N6" s="1" t="s">
        <v>69</v>
      </c>
      <c r="O6" s="1" t="s">
        <v>70</v>
      </c>
      <c r="P6" s="1"/>
      <c r="Q6" s="1" t="s">
        <v>71</v>
      </c>
      <c r="R6" s="1" t="s">
        <v>72</v>
      </c>
      <c r="S6" s="1" t="s">
        <v>73</v>
      </c>
      <c r="T6" s="1" t="s">
        <v>74</v>
      </c>
      <c r="U6" s="1" t="s">
        <v>17</v>
      </c>
      <c r="V6" s="1" t="s">
        <v>18</v>
      </c>
      <c r="W6" s="1" t="s">
        <v>75</v>
      </c>
      <c r="X6" s="1" t="s">
        <v>61</v>
      </c>
      <c r="Y6" s="1" t="s">
        <v>76</v>
      </c>
      <c r="Z6" s="1" t="s">
        <v>22</v>
      </c>
      <c r="AA6" s="1" t="s">
        <v>23</v>
      </c>
    </row>
    <row r="7" spans="1:27" ht="31" x14ac:dyDescent="0.35">
      <c r="A7" s="3" t="s">
        <v>77</v>
      </c>
      <c r="B7" s="3" t="s">
        <v>78</v>
      </c>
      <c r="C7" s="3" t="s">
        <v>79</v>
      </c>
      <c r="D7" s="3" t="s">
        <v>80</v>
      </c>
      <c r="E7" s="3" t="s">
        <v>81</v>
      </c>
      <c r="F7" s="3"/>
      <c r="G7" s="4">
        <f>DATE(2026,5,28)+TIME(12,43,2)</f>
        <v>46170.52988425926</v>
      </c>
      <c r="H7" s="3" t="s">
        <v>5</v>
      </c>
      <c r="I7" s="3" t="s">
        <v>6</v>
      </c>
      <c r="J7" s="3" t="s">
        <v>7</v>
      </c>
      <c r="K7" s="3" t="s">
        <v>8</v>
      </c>
      <c r="L7" s="5" t="s">
        <v>82</v>
      </c>
      <c r="M7" s="3" t="s">
        <v>9</v>
      </c>
      <c r="N7" s="3" t="s">
        <v>10</v>
      </c>
      <c r="O7" s="3" t="s">
        <v>83</v>
      </c>
      <c r="P7" s="3"/>
      <c r="Q7" s="3" t="s">
        <v>84</v>
      </c>
      <c r="R7" s="3" t="s">
        <v>85</v>
      </c>
      <c r="S7" s="3" t="s">
        <v>69</v>
      </c>
      <c r="T7" s="3" t="s">
        <v>86</v>
      </c>
      <c r="U7" s="3"/>
      <c r="V7" s="3"/>
      <c r="W7" s="3"/>
      <c r="X7" s="3"/>
      <c r="Y7" s="3" t="s">
        <v>87</v>
      </c>
      <c r="Z7" s="3" t="s">
        <v>22</v>
      </c>
      <c r="AA7" s="3" t="s">
        <v>23</v>
      </c>
    </row>
    <row r="8" spans="1:27" ht="31" x14ac:dyDescent="0.35">
      <c r="A8" s="1" t="s">
        <v>88</v>
      </c>
      <c r="B8" s="1" t="s">
        <v>89</v>
      </c>
      <c r="C8" s="1" t="s">
        <v>90</v>
      </c>
      <c r="D8" s="1" t="s">
        <v>91</v>
      </c>
      <c r="E8" s="1" t="s">
        <v>92</v>
      </c>
      <c r="F8" s="1"/>
      <c r="G8" s="2">
        <f>DATE(2026,5,28)+TIME(12,23,37)</f>
        <v>46170.516400462962</v>
      </c>
      <c r="H8" s="1" t="s">
        <v>5</v>
      </c>
      <c r="I8" s="1" t="s">
        <v>6</v>
      </c>
      <c r="J8" s="1" t="s">
        <v>7</v>
      </c>
      <c r="K8" s="1" t="s">
        <v>8</v>
      </c>
      <c r="L8" s="1"/>
      <c r="M8" s="1" t="s">
        <v>9</v>
      </c>
      <c r="N8" s="1" t="s">
        <v>10</v>
      </c>
      <c r="O8" s="1" t="s">
        <v>93</v>
      </c>
      <c r="P8" s="1"/>
      <c r="Q8" s="1" t="s">
        <v>94</v>
      </c>
      <c r="R8" s="1" t="s">
        <v>95</v>
      </c>
      <c r="S8" s="1" t="s">
        <v>96</v>
      </c>
      <c r="T8" s="1" t="s">
        <v>97</v>
      </c>
      <c r="U8" s="1" t="s">
        <v>17</v>
      </c>
      <c r="V8" s="1" t="s">
        <v>60</v>
      </c>
      <c r="W8" s="1" t="s">
        <v>98</v>
      </c>
      <c r="X8" s="1" t="s">
        <v>20</v>
      </c>
      <c r="Y8" s="1" t="s">
        <v>99</v>
      </c>
      <c r="Z8" s="1" t="s">
        <v>39</v>
      </c>
      <c r="AA8" s="1" t="s">
        <v>23</v>
      </c>
    </row>
    <row r="9" spans="1:27" ht="31" x14ac:dyDescent="0.35">
      <c r="A9" s="3" t="s">
        <v>106</v>
      </c>
      <c r="B9" s="3" t="s">
        <v>107</v>
      </c>
      <c r="C9" s="3" t="s">
        <v>108</v>
      </c>
      <c r="D9" s="3" t="s">
        <v>109</v>
      </c>
      <c r="E9" s="3" t="s">
        <v>110</v>
      </c>
      <c r="F9" s="3"/>
      <c r="G9" s="4">
        <f>DATE(2026,5,28)+TIME(11,11,15)</f>
        <v>46170.466145833336</v>
      </c>
      <c r="H9" s="3" t="s">
        <v>5</v>
      </c>
      <c r="I9" s="3" t="s">
        <v>6</v>
      </c>
      <c r="J9" s="3" t="s">
        <v>7</v>
      </c>
      <c r="K9" s="3" t="s">
        <v>8</v>
      </c>
      <c r="L9" s="3"/>
      <c r="M9" s="3" t="s">
        <v>68</v>
      </c>
      <c r="N9" s="3" t="s">
        <v>69</v>
      </c>
      <c r="O9" s="3" t="s">
        <v>111</v>
      </c>
      <c r="P9" s="3"/>
      <c r="Q9" s="3" t="s">
        <v>112</v>
      </c>
      <c r="R9" s="3" t="s">
        <v>72</v>
      </c>
      <c r="S9" s="3" t="s">
        <v>73</v>
      </c>
      <c r="T9" s="3" t="s">
        <v>113</v>
      </c>
      <c r="U9" s="3" t="s">
        <v>114</v>
      </c>
      <c r="V9" s="3" t="s">
        <v>115</v>
      </c>
      <c r="W9" s="3" t="s">
        <v>41</v>
      </c>
      <c r="X9" s="3" t="s">
        <v>104</v>
      </c>
      <c r="Y9" s="3" t="s">
        <v>116</v>
      </c>
      <c r="Z9" s="3" t="s">
        <v>39</v>
      </c>
      <c r="AA9" s="3" t="s">
        <v>23</v>
      </c>
    </row>
    <row r="10" spans="1:27" ht="31" x14ac:dyDescent="0.35">
      <c r="A10" s="1" t="s">
        <v>117</v>
      </c>
      <c r="B10" s="1" t="s">
        <v>118</v>
      </c>
      <c r="C10" s="1" t="s">
        <v>119</v>
      </c>
      <c r="D10" s="1" t="s">
        <v>120</v>
      </c>
      <c r="E10" s="1" t="s">
        <v>121</v>
      </c>
      <c r="F10" s="1"/>
      <c r="G10" s="2">
        <f>DATE(2026,5,28)+TIME(11,4,58)</f>
        <v>46170.461782407408</v>
      </c>
      <c r="H10" s="1" t="s">
        <v>5</v>
      </c>
      <c r="I10" s="1" t="s">
        <v>6</v>
      </c>
      <c r="J10" s="1" t="s">
        <v>7</v>
      </c>
      <c r="K10" s="1" t="s">
        <v>8</v>
      </c>
      <c r="L10" s="1"/>
      <c r="M10" s="1" t="s">
        <v>9</v>
      </c>
      <c r="N10" s="1" t="s">
        <v>10</v>
      </c>
      <c r="O10" s="1" t="s">
        <v>122</v>
      </c>
      <c r="P10" s="1"/>
      <c r="Q10" s="1" t="s">
        <v>123</v>
      </c>
      <c r="R10" s="1" t="s">
        <v>14</v>
      </c>
      <c r="S10" s="1" t="s">
        <v>15</v>
      </c>
      <c r="T10" s="1" t="s">
        <v>124</v>
      </c>
      <c r="U10" s="1" t="s">
        <v>40</v>
      </c>
      <c r="V10" s="1" t="s">
        <v>60</v>
      </c>
      <c r="W10" s="1" t="s">
        <v>98</v>
      </c>
      <c r="X10" s="1" t="s">
        <v>61</v>
      </c>
      <c r="Y10" s="1" t="s">
        <v>125</v>
      </c>
      <c r="Z10" s="1" t="s">
        <v>22</v>
      </c>
      <c r="AA10" s="1" t="s">
        <v>23</v>
      </c>
    </row>
    <row r="11" spans="1:27" ht="31" x14ac:dyDescent="0.35">
      <c r="A11" s="3" t="s">
        <v>126</v>
      </c>
      <c r="B11" s="3" t="s">
        <v>127</v>
      </c>
      <c r="C11" s="3" t="s">
        <v>128</v>
      </c>
      <c r="D11" s="3" t="s">
        <v>129</v>
      </c>
      <c r="E11" s="3" t="s">
        <v>81</v>
      </c>
      <c r="F11" s="3"/>
      <c r="G11" s="4">
        <f>DATE(2026,5,28)+TIME(10,54,47)</f>
        <v>46170.454710648148</v>
      </c>
      <c r="H11" s="3" t="s">
        <v>5</v>
      </c>
      <c r="I11" s="3" t="s">
        <v>6</v>
      </c>
      <c r="J11" s="3" t="s">
        <v>7</v>
      </c>
      <c r="K11" s="3" t="s">
        <v>8</v>
      </c>
      <c r="L11" s="3" t="s">
        <v>130</v>
      </c>
      <c r="M11" s="3" t="s">
        <v>9</v>
      </c>
      <c r="N11" s="3" t="s">
        <v>10</v>
      </c>
      <c r="O11" s="3" t="s">
        <v>131</v>
      </c>
      <c r="P11" s="3" t="s">
        <v>132</v>
      </c>
      <c r="Q11" s="3" t="s">
        <v>133</v>
      </c>
      <c r="R11" s="3" t="s">
        <v>14</v>
      </c>
      <c r="S11" s="3" t="s">
        <v>15</v>
      </c>
      <c r="T11" s="3" t="s">
        <v>134</v>
      </c>
      <c r="U11" s="3"/>
      <c r="V11" s="3"/>
      <c r="W11" s="3"/>
      <c r="X11" s="3"/>
      <c r="Y11" s="3" t="s">
        <v>135</v>
      </c>
      <c r="Z11" s="3" t="s">
        <v>39</v>
      </c>
      <c r="AA11" s="3" t="s">
        <v>23</v>
      </c>
    </row>
    <row r="12" spans="1:27" ht="31" x14ac:dyDescent="0.35">
      <c r="A12" s="1" t="s">
        <v>136</v>
      </c>
      <c r="B12" s="1" t="s">
        <v>137</v>
      </c>
      <c r="C12" s="1" t="s">
        <v>138</v>
      </c>
      <c r="D12" s="1" t="s">
        <v>139</v>
      </c>
      <c r="E12" s="1"/>
      <c r="F12" s="1"/>
      <c r="G12" s="2">
        <f>DATE(2026,5,27)+TIME(16,45,45)</f>
        <v>46169.698437500003</v>
      </c>
      <c r="H12" s="1" t="s">
        <v>5</v>
      </c>
      <c r="I12" s="1" t="s">
        <v>6</v>
      </c>
      <c r="J12" s="1" t="s">
        <v>7</v>
      </c>
      <c r="K12" s="1" t="s">
        <v>8</v>
      </c>
      <c r="L12" s="1"/>
      <c r="M12" s="1" t="s">
        <v>9</v>
      </c>
      <c r="N12" s="1" t="s">
        <v>10</v>
      </c>
      <c r="O12" s="1"/>
      <c r="P12" s="1"/>
      <c r="Q12" s="1" t="s">
        <v>140</v>
      </c>
      <c r="R12" s="1" t="s">
        <v>14</v>
      </c>
      <c r="S12" s="1" t="s">
        <v>15</v>
      </c>
      <c r="T12" s="1"/>
      <c r="U12" s="1"/>
      <c r="V12" s="1"/>
      <c r="W12" s="1"/>
      <c r="X12" s="1"/>
      <c r="Y12" s="1" t="s">
        <v>141</v>
      </c>
      <c r="Z12" s="1" t="s">
        <v>39</v>
      </c>
      <c r="AA12" s="1" t="s">
        <v>23</v>
      </c>
    </row>
    <row r="13" spans="1:27" ht="31" x14ac:dyDescent="0.35">
      <c r="A13" s="3" t="s">
        <v>142</v>
      </c>
      <c r="B13" s="3" t="s">
        <v>143</v>
      </c>
      <c r="C13" s="3" t="s">
        <v>144</v>
      </c>
      <c r="D13" s="3" t="s">
        <v>145</v>
      </c>
      <c r="E13" s="3" t="s">
        <v>146</v>
      </c>
      <c r="F13" s="3"/>
      <c r="G13" s="4">
        <f>DATE(2026,5,27)+TIME(16,37,30)</f>
        <v>46169.692708333336</v>
      </c>
      <c r="H13" s="3" t="s">
        <v>29</v>
      </c>
      <c r="I13" s="3" t="s">
        <v>30</v>
      </c>
      <c r="J13" s="3" t="s">
        <v>31</v>
      </c>
      <c r="K13" s="3" t="s">
        <v>8</v>
      </c>
      <c r="L13" s="3"/>
      <c r="M13" s="3" t="s">
        <v>9</v>
      </c>
      <c r="N13" s="3" t="s">
        <v>10</v>
      </c>
      <c r="O13" s="3" t="s">
        <v>147</v>
      </c>
      <c r="P13" s="3"/>
      <c r="Q13" s="3" t="s">
        <v>44</v>
      </c>
      <c r="R13" s="3" t="s">
        <v>14</v>
      </c>
      <c r="S13" s="3" t="s">
        <v>15</v>
      </c>
      <c r="T13" s="3" t="s">
        <v>148</v>
      </c>
      <c r="U13" s="3" t="s">
        <v>40</v>
      </c>
      <c r="V13" s="3" t="s">
        <v>60</v>
      </c>
      <c r="W13" s="3" t="s">
        <v>149</v>
      </c>
      <c r="X13" s="3" t="s">
        <v>20</v>
      </c>
      <c r="Y13" s="3" t="s">
        <v>150</v>
      </c>
      <c r="Z13" s="3" t="s">
        <v>39</v>
      </c>
      <c r="AA13" s="3" t="s">
        <v>42</v>
      </c>
    </row>
    <row r="14" spans="1:27" ht="15.5" x14ac:dyDescent="0.35">
      <c r="A14" s="1" t="s">
        <v>151</v>
      </c>
      <c r="B14" s="1" t="s">
        <v>152</v>
      </c>
      <c r="C14" s="1" t="s">
        <v>153</v>
      </c>
      <c r="D14" s="1" t="s">
        <v>154</v>
      </c>
      <c r="E14" s="1" t="s">
        <v>155</v>
      </c>
      <c r="F14" s="1"/>
      <c r="G14" s="2">
        <f>DATE(2026,5,27)+TIME(16,33,51)</f>
        <v>46169.69017361111</v>
      </c>
      <c r="H14" s="1" t="s">
        <v>5</v>
      </c>
      <c r="I14" s="1" t="s">
        <v>6</v>
      </c>
      <c r="J14" s="1" t="s">
        <v>7</v>
      </c>
      <c r="K14" s="1" t="s">
        <v>8</v>
      </c>
      <c r="L14" s="1"/>
      <c r="M14" s="1" t="s">
        <v>9</v>
      </c>
      <c r="N14" s="1" t="s">
        <v>10</v>
      </c>
      <c r="O14" s="1" t="s">
        <v>156</v>
      </c>
      <c r="P14" s="1" t="s">
        <v>157</v>
      </c>
      <c r="Q14" s="1" t="s">
        <v>158</v>
      </c>
      <c r="R14" s="1" t="s">
        <v>158</v>
      </c>
      <c r="S14" s="1" t="s">
        <v>159</v>
      </c>
      <c r="T14" s="1" t="s">
        <v>160</v>
      </c>
      <c r="U14" s="1" t="s">
        <v>17</v>
      </c>
      <c r="V14" s="1" t="s">
        <v>60</v>
      </c>
      <c r="W14" s="1" t="s">
        <v>41</v>
      </c>
      <c r="X14" s="1" t="s">
        <v>61</v>
      </c>
      <c r="Y14" s="1" t="s">
        <v>161</v>
      </c>
      <c r="Z14" s="1" t="s">
        <v>39</v>
      </c>
      <c r="AA14" s="1" t="s">
        <v>23</v>
      </c>
    </row>
    <row r="15" spans="1:27" ht="31" x14ac:dyDescent="0.35">
      <c r="A15" s="3" t="s">
        <v>162</v>
      </c>
      <c r="B15" s="3" t="s">
        <v>163</v>
      </c>
      <c r="C15" s="3" t="s">
        <v>164</v>
      </c>
      <c r="D15" s="3" t="s">
        <v>165</v>
      </c>
      <c r="E15" s="3" t="s">
        <v>166</v>
      </c>
      <c r="F15" s="3"/>
      <c r="G15" s="4">
        <f>DATE(2026,5,27)+TIME(16,2,38)</f>
        <v>46169.668495370373</v>
      </c>
      <c r="H15" s="3" t="s">
        <v>5</v>
      </c>
      <c r="I15" s="3" t="s">
        <v>6</v>
      </c>
      <c r="J15" s="3" t="s">
        <v>7</v>
      </c>
      <c r="K15" s="3" t="s">
        <v>8</v>
      </c>
      <c r="L15" s="3"/>
      <c r="M15" s="3" t="s">
        <v>9</v>
      </c>
      <c r="N15" s="3" t="s">
        <v>10</v>
      </c>
      <c r="O15" s="3" t="s">
        <v>167</v>
      </c>
      <c r="P15" s="3"/>
      <c r="Q15" s="3" t="s">
        <v>168</v>
      </c>
      <c r="R15" s="3" t="s">
        <v>169</v>
      </c>
      <c r="S15" s="3" t="s">
        <v>170</v>
      </c>
      <c r="T15" s="3" t="s">
        <v>171</v>
      </c>
      <c r="U15" s="3"/>
      <c r="V15" s="3"/>
      <c r="W15" s="3"/>
      <c r="X15" s="3"/>
      <c r="Y15" s="3" t="s">
        <v>172</v>
      </c>
      <c r="Z15" s="3" t="s">
        <v>39</v>
      </c>
      <c r="AA15" s="3" t="s">
        <v>23</v>
      </c>
    </row>
    <row r="16" spans="1:27" ht="31" x14ac:dyDescent="0.35">
      <c r="A16" s="1" t="s">
        <v>173</v>
      </c>
      <c r="B16" s="1" t="s">
        <v>174</v>
      </c>
      <c r="C16" s="1" t="s">
        <v>175</v>
      </c>
      <c r="D16" s="1" t="s">
        <v>176</v>
      </c>
      <c r="E16" s="1" t="s">
        <v>177</v>
      </c>
      <c r="F16" s="1"/>
      <c r="G16" s="2">
        <f>DATE(2026,5,27)+TIME(15,51,43)</f>
        <v>46169.660914351851</v>
      </c>
      <c r="H16" s="1" t="s">
        <v>5</v>
      </c>
      <c r="I16" s="1" t="s">
        <v>6</v>
      </c>
      <c r="J16" s="1" t="s">
        <v>7</v>
      </c>
      <c r="K16" s="1" t="s">
        <v>8</v>
      </c>
      <c r="L16" s="1"/>
      <c r="M16" s="1" t="s">
        <v>9</v>
      </c>
      <c r="N16" s="1" t="s">
        <v>10</v>
      </c>
      <c r="O16" s="1" t="s">
        <v>178</v>
      </c>
      <c r="P16" s="1"/>
      <c r="Q16" s="1" t="s">
        <v>179</v>
      </c>
      <c r="R16" s="1" t="s">
        <v>180</v>
      </c>
      <c r="S16" s="1" t="s">
        <v>181</v>
      </c>
      <c r="T16" s="1" t="s">
        <v>182</v>
      </c>
      <c r="U16" s="1"/>
      <c r="V16" s="1"/>
      <c r="W16" s="1"/>
      <c r="X16" s="1"/>
      <c r="Y16" s="1" t="s">
        <v>183</v>
      </c>
      <c r="Z16" s="1" t="s">
        <v>39</v>
      </c>
      <c r="AA16" s="1" t="s">
        <v>23</v>
      </c>
    </row>
    <row r="17" spans="1:27" ht="31" x14ac:dyDescent="0.35">
      <c r="A17" s="3" t="s">
        <v>184</v>
      </c>
      <c r="B17" s="3" t="s">
        <v>185</v>
      </c>
      <c r="C17" s="3" t="s">
        <v>186</v>
      </c>
      <c r="D17" s="3" t="s">
        <v>187</v>
      </c>
      <c r="E17" s="3" t="s">
        <v>188</v>
      </c>
      <c r="F17" s="3"/>
      <c r="G17" s="4">
        <f>DATE(2026,5,27)+TIME(15,18,31)</f>
        <v>46169.637858796297</v>
      </c>
      <c r="H17" s="3" t="s">
        <v>29</v>
      </c>
      <c r="I17" s="3" t="s">
        <v>30</v>
      </c>
      <c r="J17" s="3" t="s">
        <v>31</v>
      </c>
      <c r="K17" s="3" t="s">
        <v>8</v>
      </c>
      <c r="L17" s="3"/>
      <c r="M17" s="3" t="s">
        <v>9</v>
      </c>
      <c r="N17" s="3" t="s">
        <v>10</v>
      </c>
      <c r="O17" s="3" t="s">
        <v>189</v>
      </c>
      <c r="P17" s="3"/>
      <c r="Q17" s="3" t="s">
        <v>190</v>
      </c>
      <c r="R17" s="3" t="s">
        <v>191</v>
      </c>
      <c r="S17" s="3" t="s">
        <v>192</v>
      </c>
      <c r="T17" s="3" t="s">
        <v>193</v>
      </c>
      <c r="U17" s="3" t="s">
        <v>40</v>
      </c>
      <c r="V17" s="3" t="s">
        <v>60</v>
      </c>
      <c r="W17" s="3" t="s">
        <v>194</v>
      </c>
      <c r="X17" s="3" t="s">
        <v>61</v>
      </c>
      <c r="Y17" s="3" t="s">
        <v>195</v>
      </c>
      <c r="Z17" s="3" t="s">
        <v>39</v>
      </c>
      <c r="AA17" s="3" t="s">
        <v>42</v>
      </c>
    </row>
    <row r="18" spans="1:27" ht="46.5" x14ac:dyDescent="0.35">
      <c r="A18" s="1" t="s">
        <v>196</v>
      </c>
      <c r="B18" s="1" t="s">
        <v>197</v>
      </c>
      <c r="C18" s="1" t="s">
        <v>198</v>
      </c>
      <c r="D18" s="1" t="s">
        <v>199</v>
      </c>
      <c r="E18" s="1" t="s">
        <v>200</v>
      </c>
      <c r="F18" s="1"/>
      <c r="G18" s="2">
        <f>DATE(2026,5,27)+TIME(14,42,3)</f>
        <v>46169.612534722219</v>
      </c>
      <c r="H18" s="1" t="s">
        <v>5</v>
      </c>
      <c r="I18" s="1" t="s">
        <v>6</v>
      </c>
      <c r="J18" s="1" t="s">
        <v>7</v>
      </c>
      <c r="K18" s="1" t="s">
        <v>8</v>
      </c>
      <c r="L18" s="1"/>
      <c r="M18" s="1" t="s">
        <v>9</v>
      </c>
      <c r="N18" s="1" t="s">
        <v>10</v>
      </c>
      <c r="O18" s="1" t="s">
        <v>201</v>
      </c>
      <c r="P18" s="1"/>
      <c r="Q18" s="1" t="s">
        <v>202</v>
      </c>
      <c r="R18" s="1" t="s">
        <v>169</v>
      </c>
      <c r="S18" s="1" t="s">
        <v>170</v>
      </c>
      <c r="T18" s="1" t="s">
        <v>203</v>
      </c>
      <c r="U18" s="1" t="s">
        <v>204</v>
      </c>
      <c r="V18" s="1" t="s">
        <v>115</v>
      </c>
      <c r="W18" s="1" t="s">
        <v>19</v>
      </c>
      <c r="X18" s="1" t="s">
        <v>20</v>
      </c>
      <c r="Y18" s="1" t="s">
        <v>205</v>
      </c>
      <c r="Z18" s="1" t="s">
        <v>39</v>
      </c>
      <c r="AA18" s="1" t="s">
        <v>23</v>
      </c>
    </row>
    <row r="19" spans="1:27" ht="31" x14ac:dyDescent="0.35">
      <c r="A19" s="3" t="s">
        <v>206</v>
      </c>
      <c r="B19" s="3" t="s">
        <v>207</v>
      </c>
      <c r="C19" s="3" t="s">
        <v>208</v>
      </c>
      <c r="D19" s="3" t="s">
        <v>209</v>
      </c>
      <c r="E19" s="3" t="s">
        <v>210</v>
      </c>
      <c r="F19" s="3"/>
      <c r="G19" s="4">
        <f>DATE(2026,5,27)+TIME(14,41,38)</f>
        <v>46169.612245370372</v>
      </c>
      <c r="H19" s="3" t="s">
        <v>29</v>
      </c>
      <c r="I19" s="3" t="s">
        <v>30</v>
      </c>
      <c r="J19" s="3" t="s">
        <v>31</v>
      </c>
      <c r="K19" s="3" t="s">
        <v>8</v>
      </c>
      <c r="L19" s="3"/>
      <c r="M19" s="3" t="s">
        <v>9</v>
      </c>
      <c r="N19" s="3" t="s">
        <v>10</v>
      </c>
      <c r="O19" s="3" t="s">
        <v>211</v>
      </c>
      <c r="P19" s="3"/>
      <c r="Q19" s="3" t="s">
        <v>212</v>
      </c>
      <c r="R19" s="3" t="s">
        <v>169</v>
      </c>
      <c r="S19" s="3" t="s">
        <v>170</v>
      </c>
      <c r="T19" s="3" t="s">
        <v>203</v>
      </c>
      <c r="U19" s="3" t="s">
        <v>213</v>
      </c>
      <c r="V19" s="3" t="s">
        <v>103</v>
      </c>
      <c r="W19" s="3" t="s">
        <v>19</v>
      </c>
      <c r="X19" s="3" t="s">
        <v>61</v>
      </c>
      <c r="Y19" s="3" t="s">
        <v>214</v>
      </c>
      <c r="Z19" s="3" t="s">
        <v>39</v>
      </c>
      <c r="AA19" s="3" t="s">
        <v>42</v>
      </c>
    </row>
    <row r="20" spans="1:27" ht="46.5" x14ac:dyDescent="0.35">
      <c r="A20" s="1" t="s">
        <v>219</v>
      </c>
      <c r="B20" s="1" t="s">
        <v>137</v>
      </c>
      <c r="C20" s="1" t="s">
        <v>220</v>
      </c>
      <c r="D20" s="1" t="s">
        <v>221</v>
      </c>
      <c r="E20" s="1" t="s">
        <v>222</v>
      </c>
      <c r="F20" s="1"/>
      <c r="G20" s="2">
        <f>DATE(2026,5,27)+TIME(13,54,30)</f>
        <v>46169.579513888886</v>
      </c>
      <c r="H20" s="1" t="s">
        <v>5</v>
      </c>
      <c r="I20" s="1" t="s">
        <v>6</v>
      </c>
      <c r="J20" s="1" t="s">
        <v>7</v>
      </c>
      <c r="K20" s="1" t="s">
        <v>8</v>
      </c>
      <c r="L20" s="1"/>
      <c r="M20" s="1" t="s">
        <v>215</v>
      </c>
      <c r="N20" s="1" t="s">
        <v>216</v>
      </c>
      <c r="O20" s="1" t="s">
        <v>223</v>
      </c>
      <c r="P20" s="1"/>
      <c r="Q20" s="1" t="s">
        <v>224</v>
      </c>
      <c r="R20" s="1" t="s">
        <v>217</v>
      </c>
      <c r="S20" s="1" t="s">
        <v>218</v>
      </c>
      <c r="T20" s="1" t="s">
        <v>225</v>
      </c>
      <c r="U20" s="1"/>
      <c r="V20" s="1"/>
      <c r="W20" s="1"/>
      <c r="X20" s="1"/>
      <c r="Y20" s="1" t="s">
        <v>226</v>
      </c>
      <c r="Z20" s="1" t="s">
        <v>39</v>
      </c>
      <c r="AA20" s="1" t="s">
        <v>227</v>
      </c>
    </row>
    <row r="21" spans="1:27" ht="31" x14ac:dyDescent="0.35">
      <c r="A21" s="1" t="s">
        <v>228</v>
      </c>
      <c r="B21" s="1" t="s">
        <v>229</v>
      </c>
      <c r="C21" s="1" t="s">
        <v>230</v>
      </c>
      <c r="D21" s="1" t="s">
        <v>231</v>
      </c>
      <c r="E21" s="1" t="s">
        <v>232</v>
      </c>
      <c r="F21" s="1"/>
      <c r="G21" s="2">
        <f>DATE(2026,5,27)+TIME(12,52,24)</f>
        <v>46169.53638888889</v>
      </c>
      <c r="H21" s="1" t="s">
        <v>5</v>
      </c>
      <c r="I21" s="1" t="s">
        <v>6</v>
      </c>
      <c r="J21" s="1" t="s">
        <v>7</v>
      </c>
      <c r="K21" s="1" t="s">
        <v>8</v>
      </c>
      <c r="L21" s="1"/>
      <c r="M21" s="1" t="s">
        <v>9</v>
      </c>
      <c r="N21" s="1" t="s">
        <v>10</v>
      </c>
      <c r="O21" s="1" t="s">
        <v>233</v>
      </c>
      <c r="P21" s="1" t="s">
        <v>234</v>
      </c>
      <c r="Q21" s="1" t="s">
        <v>102</v>
      </c>
      <c r="R21" s="1" t="s">
        <v>100</v>
      </c>
      <c r="S21" s="1" t="s">
        <v>101</v>
      </c>
      <c r="T21" s="1" t="s">
        <v>235</v>
      </c>
      <c r="U21" s="1" t="s">
        <v>213</v>
      </c>
      <c r="V21" s="1" t="s">
        <v>60</v>
      </c>
      <c r="W21" s="1" t="s">
        <v>19</v>
      </c>
      <c r="X21" s="1" t="s">
        <v>20</v>
      </c>
      <c r="Y21" s="1" t="s">
        <v>236</v>
      </c>
      <c r="Z21" s="1" t="s">
        <v>39</v>
      </c>
      <c r="AA21" s="1" t="s">
        <v>23</v>
      </c>
    </row>
    <row r="22" spans="1:27" ht="31" x14ac:dyDescent="0.35">
      <c r="A22" s="3" t="s">
        <v>237</v>
      </c>
      <c r="B22" s="3" t="s">
        <v>238</v>
      </c>
      <c r="C22" s="3" t="s">
        <v>239</v>
      </c>
      <c r="D22" s="3" t="s">
        <v>240</v>
      </c>
      <c r="E22" s="3" t="s">
        <v>241</v>
      </c>
      <c r="F22" s="3"/>
      <c r="G22" s="4">
        <f>DATE(2026,5,27)+TIME(12,41,47)</f>
        <v>46169.529016203705</v>
      </c>
      <c r="H22" s="3" t="s">
        <v>5</v>
      </c>
      <c r="I22" s="3" t="s">
        <v>6</v>
      </c>
      <c r="J22" s="3" t="s">
        <v>7</v>
      </c>
      <c r="K22" s="3" t="s">
        <v>8</v>
      </c>
      <c r="L22" s="3" t="s">
        <v>242</v>
      </c>
      <c r="M22" s="3" t="s">
        <v>9</v>
      </c>
      <c r="N22" s="3" t="s">
        <v>10</v>
      </c>
      <c r="O22" s="3" t="s">
        <v>243</v>
      </c>
      <c r="P22" s="3"/>
      <c r="Q22" s="3" t="s">
        <v>244</v>
      </c>
      <c r="R22" s="3" t="s">
        <v>14</v>
      </c>
      <c r="S22" s="3" t="s">
        <v>15</v>
      </c>
      <c r="T22" s="3" t="s">
        <v>245</v>
      </c>
      <c r="U22" s="3" t="s">
        <v>213</v>
      </c>
      <c r="V22" s="3" t="s">
        <v>18</v>
      </c>
      <c r="W22" s="3" t="s">
        <v>105</v>
      </c>
      <c r="X22" s="3" t="s">
        <v>61</v>
      </c>
      <c r="Y22" s="3" t="s">
        <v>246</v>
      </c>
      <c r="Z22" s="3" t="s">
        <v>22</v>
      </c>
      <c r="AA22" s="3" t="s">
        <v>23</v>
      </c>
    </row>
    <row r="23" spans="1:27" ht="31" x14ac:dyDescent="0.35">
      <c r="A23" s="1" t="s">
        <v>247</v>
      </c>
      <c r="B23" s="1" t="s">
        <v>248</v>
      </c>
      <c r="C23" s="1" t="s">
        <v>249</v>
      </c>
      <c r="D23" s="1" t="s">
        <v>250</v>
      </c>
      <c r="E23" s="1" t="s">
        <v>251</v>
      </c>
      <c r="F23" s="1"/>
      <c r="G23" s="2">
        <f>DATE(2026,5,27)+TIME(12,9,8)</f>
        <v>46169.506342592591</v>
      </c>
      <c r="H23" s="1" t="s">
        <v>29</v>
      </c>
      <c r="I23" s="1" t="s">
        <v>30</v>
      </c>
      <c r="J23" s="1" t="s">
        <v>31</v>
      </c>
      <c r="K23" s="1" t="s">
        <v>8</v>
      </c>
      <c r="L23" s="1" t="s">
        <v>252</v>
      </c>
      <c r="M23" s="1" t="s">
        <v>9</v>
      </c>
      <c r="N23" s="1" t="s">
        <v>10</v>
      </c>
      <c r="O23" s="1" t="s">
        <v>253</v>
      </c>
      <c r="P23" s="1"/>
      <c r="Q23" s="1" t="s">
        <v>254</v>
      </c>
      <c r="R23" s="1" t="s">
        <v>14</v>
      </c>
      <c r="S23" s="1" t="s">
        <v>15</v>
      </c>
      <c r="T23" s="1" t="s">
        <v>255</v>
      </c>
      <c r="U23" s="1" t="s">
        <v>17</v>
      </c>
      <c r="V23" s="1" t="s">
        <v>60</v>
      </c>
      <c r="W23" s="1" t="s">
        <v>98</v>
      </c>
      <c r="X23" s="1" t="s">
        <v>20</v>
      </c>
      <c r="Y23" s="1" t="s">
        <v>256</v>
      </c>
      <c r="Z23" s="1" t="s">
        <v>22</v>
      </c>
      <c r="AA23" s="1" t="s">
        <v>23</v>
      </c>
    </row>
    <row r="24" spans="1:27" ht="31" x14ac:dyDescent="0.35">
      <c r="A24" s="3" t="s">
        <v>257</v>
      </c>
      <c r="B24" s="3" t="s">
        <v>258</v>
      </c>
      <c r="C24" s="3" t="s">
        <v>259</v>
      </c>
      <c r="D24" s="3" t="s">
        <v>260</v>
      </c>
      <c r="E24" s="3" t="s">
        <v>261</v>
      </c>
      <c r="F24" s="3"/>
      <c r="G24" s="4">
        <f>DATE(2026,5,27)+TIME(11,47,57)</f>
        <v>46169.491631944446</v>
      </c>
      <c r="H24" s="3" t="s">
        <v>5</v>
      </c>
      <c r="I24" s="3" t="s">
        <v>6</v>
      </c>
      <c r="J24" s="3" t="s">
        <v>7</v>
      </c>
      <c r="K24" s="3" t="s">
        <v>8</v>
      </c>
      <c r="L24" s="3"/>
      <c r="M24" s="3" t="s">
        <v>9</v>
      </c>
      <c r="N24" s="3" t="s">
        <v>10</v>
      </c>
      <c r="O24" s="3" t="s">
        <v>262</v>
      </c>
      <c r="P24" s="3"/>
      <c r="Q24" s="3" t="s">
        <v>263</v>
      </c>
      <c r="R24" s="3" t="s">
        <v>14</v>
      </c>
      <c r="S24" s="3" t="s">
        <v>15</v>
      </c>
      <c r="T24" s="3" t="s">
        <v>264</v>
      </c>
      <c r="U24" s="3" t="s">
        <v>40</v>
      </c>
      <c r="V24" s="3" t="s">
        <v>60</v>
      </c>
      <c r="W24" s="3" t="s">
        <v>105</v>
      </c>
      <c r="X24" s="3" t="s">
        <v>61</v>
      </c>
      <c r="Y24" s="3" t="s">
        <v>265</v>
      </c>
      <c r="Z24" s="3" t="s">
        <v>22</v>
      </c>
      <c r="AA24" s="3" t="s">
        <v>227</v>
      </c>
    </row>
    <row r="25" spans="1:27" ht="31" x14ac:dyDescent="0.35">
      <c r="A25" s="1" t="s">
        <v>266</v>
      </c>
      <c r="B25" s="1" t="s">
        <v>267</v>
      </c>
      <c r="C25" s="1" t="s">
        <v>268</v>
      </c>
      <c r="D25" s="1" t="s">
        <v>129</v>
      </c>
      <c r="E25" s="1" t="s">
        <v>269</v>
      </c>
      <c r="F25" s="1"/>
      <c r="G25" s="2">
        <f>DATE(2026,5,27)+TIME(11,16,6)</f>
        <v>46169.469513888886</v>
      </c>
      <c r="H25" s="1" t="s">
        <v>29</v>
      </c>
      <c r="I25" s="1" t="s">
        <v>30</v>
      </c>
      <c r="J25" s="1" t="s">
        <v>31</v>
      </c>
      <c r="K25" s="1" t="s">
        <v>8</v>
      </c>
      <c r="L25" s="1"/>
      <c r="M25" s="1" t="s">
        <v>9</v>
      </c>
      <c r="N25" s="1" t="s">
        <v>10</v>
      </c>
      <c r="O25" s="1" t="s">
        <v>131</v>
      </c>
      <c r="P25" s="1"/>
      <c r="Q25" s="1" t="s">
        <v>133</v>
      </c>
      <c r="R25" s="1" t="s">
        <v>14</v>
      </c>
      <c r="S25" s="1" t="s">
        <v>15</v>
      </c>
      <c r="T25" s="1" t="s">
        <v>134</v>
      </c>
      <c r="U25" s="1"/>
      <c r="V25" s="1"/>
      <c r="W25" s="1"/>
      <c r="X25" s="1"/>
      <c r="Y25" s="1" t="s">
        <v>270</v>
      </c>
      <c r="Z25" s="1" t="s">
        <v>39</v>
      </c>
      <c r="AA25" s="1" t="s">
        <v>23</v>
      </c>
    </row>
    <row r="26" spans="1:27" ht="15.5" x14ac:dyDescent="0.35">
      <c r="A26" s="3" t="s">
        <v>271</v>
      </c>
      <c r="B26" s="3" t="s">
        <v>272</v>
      </c>
      <c r="C26" s="3" t="s">
        <v>273</v>
      </c>
      <c r="D26" s="3" t="s">
        <v>129</v>
      </c>
      <c r="E26" s="3" t="s">
        <v>274</v>
      </c>
      <c r="F26" s="3"/>
      <c r="G26" s="4">
        <f>DATE(2026,5,27)+TIME(11,15,54)</f>
        <v>46169.469375000001</v>
      </c>
      <c r="H26" s="3" t="s">
        <v>29</v>
      </c>
      <c r="I26" s="3" t="s">
        <v>30</v>
      </c>
      <c r="J26" s="3" t="s">
        <v>31</v>
      </c>
      <c r="K26" s="3" t="s">
        <v>8</v>
      </c>
      <c r="L26" s="3"/>
      <c r="M26" s="3" t="s">
        <v>9</v>
      </c>
      <c r="N26" s="3" t="s">
        <v>10</v>
      </c>
      <c r="O26" s="3" t="s">
        <v>131</v>
      </c>
      <c r="P26" s="3"/>
      <c r="Q26" s="3" t="s">
        <v>133</v>
      </c>
      <c r="R26" s="3" t="s">
        <v>14</v>
      </c>
      <c r="S26" s="3" t="s">
        <v>15</v>
      </c>
      <c r="T26" s="3" t="s">
        <v>134</v>
      </c>
      <c r="U26" s="3"/>
      <c r="V26" s="3"/>
      <c r="W26" s="3"/>
      <c r="X26" s="3"/>
      <c r="Y26" s="3" t="s">
        <v>275</v>
      </c>
      <c r="Z26" s="3" t="s">
        <v>39</v>
      </c>
      <c r="AA26" s="3" t="s">
        <v>23</v>
      </c>
    </row>
    <row r="27" spans="1:27" ht="31" x14ac:dyDescent="0.35">
      <c r="A27" s="1" t="s">
        <v>276</v>
      </c>
      <c r="B27" s="1" t="s">
        <v>277</v>
      </c>
      <c r="C27" s="1" t="s">
        <v>278</v>
      </c>
      <c r="D27" s="1" t="s">
        <v>279</v>
      </c>
      <c r="E27" s="1" t="s">
        <v>280</v>
      </c>
      <c r="F27" s="1"/>
      <c r="G27" s="2">
        <f>DATE(2026,5,27)+TIME(10,48,9)</f>
        <v>46169.450104166666</v>
      </c>
      <c r="H27" s="1" t="s">
        <v>29</v>
      </c>
      <c r="I27" s="1" t="s">
        <v>30</v>
      </c>
      <c r="J27" s="1" t="s">
        <v>31</v>
      </c>
      <c r="K27" s="1" t="s">
        <v>8</v>
      </c>
      <c r="L27" s="1"/>
      <c r="M27" s="1" t="s">
        <v>9</v>
      </c>
      <c r="N27" s="1" t="s">
        <v>10</v>
      </c>
      <c r="O27" s="1" t="s">
        <v>281</v>
      </c>
      <c r="P27" s="1"/>
      <c r="Q27" s="1" t="s">
        <v>282</v>
      </c>
      <c r="R27" s="1" t="s">
        <v>169</v>
      </c>
      <c r="S27" s="1" t="s">
        <v>170</v>
      </c>
      <c r="T27" s="1" t="s">
        <v>283</v>
      </c>
      <c r="U27" s="1" t="s">
        <v>204</v>
      </c>
      <c r="V27" s="1" t="s">
        <v>115</v>
      </c>
      <c r="W27" s="1" t="s">
        <v>284</v>
      </c>
      <c r="X27" s="1" t="s">
        <v>61</v>
      </c>
      <c r="Y27" s="1" t="s">
        <v>275</v>
      </c>
      <c r="Z27" s="1" t="s">
        <v>39</v>
      </c>
      <c r="AA27" s="1" t="s">
        <v>23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 Per Booth Staff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Halloran</dc:creator>
  <cp:keywords/>
  <dc:description/>
  <cp:lastModifiedBy>Keaton Kaess</cp:lastModifiedBy>
  <dcterms:created xsi:type="dcterms:W3CDTF">2026-05-29T18:43:51Z</dcterms:created>
  <dcterms:modified xsi:type="dcterms:W3CDTF">2026-06-02T23:37:50Z</dcterms:modified>
  <cp:category/>
</cp:coreProperties>
</file>